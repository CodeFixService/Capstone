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0514320-CE04-40E5-ABA7-ACCC3AAE22B2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E9" i="1"/>
  <c r="E18" i="1"/>
  <c r="F18" i="1"/>
  <c r="G18" i="1"/>
  <c r="H18" i="1"/>
  <c r="C9" i="1" l="1"/>
  <c r="D18" i="1"/>
  <c r="C18" i="1"/>
  <c r="C20" i="1" l="1"/>
  <c r="D9" i="1" s="1"/>
  <c r="D20" i="1" s="1"/>
  <c r="F9" i="1" s="1"/>
  <c r="G9" i="1" s="1"/>
  <c r="H9" i="1" s="1"/>
</calcChain>
</file>

<file path=xl/sharedStrings.xml><?xml version="1.0" encoding="utf-8"?>
<sst xmlns="http://schemas.openxmlformats.org/spreadsheetml/2006/main" count="30" uniqueCount="30">
  <si>
    <t xml:space="preserve">ITEM </t>
  </si>
  <si>
    <t>MES 0</t>
  </si>
  <si>
    <t>AGOSTO</t>
  </si>
  <si>
    <t xml:space="preserve">SEPTIEMBRE </t>
  </si>
  <si>
    <t xml:space="preserve">NOVIEMBRE </t>
  </si>
  <si>
    <t>OCTUBRE</t>
  </si>
  <si>
    <t>INGRESO</t>
  </si>
  <si>
    <t xml:space="preserve">EGRESOS </t>
  </si>
  <si>
    <t>FLUJOS</t>
  </si>
  <si>
    <t>PRESTAMO</t>
  </si>
  <si>
    <t>ARRASTRE</t>
  </si>
  <si>
    <t>ARRIENDO OFICINAS</t>
  </si>
  <si>
    <t>AGUA</t>
  </si>
  <si>
    <t>APORTE ACTIVOS</t>
  </si>
  <si>
    <t>SUELDOS</t>
  </si>
  <si>
    <t>INTERNET</t>
  </si>
  <si>
    <t>DICIEMBRE</t>
  </si>
  <si>
    <t>HITO DE PAGOS</t>
  </si>
  <si>
    <t>LUZ</t>
  </si>
  <si>
    <t>CUOTA CRÉDITO BANCARIO</t>
  </si>
  <si>
    <t>Indicador</t>
  </si>
  <si>
    <t>Resultado</t>
  </si>
  <si>
    <t>Interpretación</t>
  </si>
  <si>
    <t>VAN (10%)</t>
  </si>
  <si>
    <t>Muy rentable</t>
  </si>
  <si>
    <t>TIR</t>
  </si>
  <si>
    <t>≈ 170%</t>
  </si>
  <si>
    <t>Retorno extraordinario</t>
  </si>
  <si>
    <t>Índice de Rentabilidad (IR)</t>
  </si>
  <si>
    <t>Cada $1 produce $14,46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</si>
</sst>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5" fontId="0" fillId="2" borderId="5" xfId="1" applyNumberFormat="1" applyFont="1" applyFill="1" applyBorder="1"/>
    <xf numFmtId="165" fontId="0" fillId="2" borderId="6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1" applyNumberFormat="1" applyFont="1"/>
    <xf numFmtId="165" fontId="0" fillId="0" borderId="0" xfId="0" applyNumberFormat="1"/>
    <xf numFmtId="42" fontId="0" fillId="0" borderId="0" xfId="2" applyFont="1"/>
    <xf numFmtId="42" fontId="0" fillId="0" borderId="0" xfId="2" applyFont="1" applyBorder="1"/>
    <xf numFmtId="42" fontId="0" fillId="0" borderId="8" xfId="2" applyFont="1" applyBorder="1"/>
    <xf numFmtId="42" fontId="0" fillId="2" borderId="5" xfId="2" applyFont="1" applyFill="1" applyBorder="1"/>
    <xf numFmtId="42" fontId="0" fillId="2" borderId="6" xfId="2" applyFont="1" applyFill="1" applyBorder="1"/>
    <xf numFmtId="42" fontId="0" fillId="0" borderId="10" xfId="2" applyFont="1" applyBorder="1"/>
    <xf numFmtId="42" fontId="0" fillId="0" borderId="11" xfId="2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6" fontId="2" fillId="0" borderId="12" xfId="0" applyNumberFormat="1" applyFont="1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tabSelected="1" topLeftCell="A26" zoomScale="64" zoomScaleNormal="81" workbookViewId="0">
      <selection activeCell="I30" sqref="I30"/>
    </sheetView>
  </sheetViews>
  <sheetFormatPr baseColWidth="10" defaultRowHeight="14.5" x14ac:dyDescent="0.35"/>
  <cols>
    <col min="2" max="2" width="24.26953125" bestFit="1" customWidth="1"/>
    <col min="3" max="3" width="14.7265625" bestFit="1" customWidth="1"/>
    <col min="4" max="4" width="14.54296875" bestFit="1" customWidth="1"/>
    <col min="5" max="7" width="13" bestFit="1" customWidth="1"/>
    <col min="8" max="8" width="13" customWidth="1"/>
    <col min="10" max="10" width="15.54296875" bestFit="1" customWidth="1"/>
    <col min="11" max="11" width="13" bestFit="1" customWidth="1"/>
  </cols>
  <sheetData>
    <row r="1" spans="2:8" ht="15" thickBot="1" x14ac:dyDescent="0.4"/>
    <row r="2" spans="2:8" ht="15" thickBot="1" x14ac:dyDescent="0.4">
      <c r="B2" s="1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4</v>
      </c>
      <c r="H2" s="3" t="s">
        <v>16</v>
      </c>
    </row>
    <row r="3" spans="2:8" x14ac:dyDescent="0.35">
      <c r="B3" t="s">
        <v>10</v>
      </c>
      <c r="C3" s="12">
        <v>0</v>
      </c>
      <c r="D3" s="12">
        <v>6000000</v>
      </c>
      <c r="E3" s="12">
        <v>12800000</v>
      </c>
      <c r="F3" s="12">
        <v>18400000</v>
      </c>
      <c r="G3" s="12">
        <v>26350000</v>
      </c>
      <c r="H3" s="12">
        <v>33900000</v>
      </c>
    </row>
    <row r="4" spans="2:8" x14ac:dyDescent="0.35">
      <c r="B4" t="s">
        <v>9</v>
      </c>
      <c r="C4" s="12">
        <v>4000000</v>
      </c>
      <c r="D4" s="12"/>
      <c r="E4" s="12"/>
      <c r="F4" s="12"/>
      <c r="G4" s="12"/>
      <c r="H4" s="12"/>
    </row>
    <row r="5" spans="2:8" x14ac:dyDescent="0.35">
      <c r="B5" t="s">
        <v>13</v>
      </c>
      <c r="C5" s="12">
        <v>2000000</v>
      </c>
      <c r="D5" s="12"/>
      <c r="E5" s="12"/>
      <c r="F5" s="12"/>
      <c r="G5" s="12"/>
      <c r="H5" s="12"/>
    </row>
    <row r="6" spans="2:8" x14ac:dyDescent="0.35">
      <c r="B6" t="s">
        <v>17</v>
      </c>
      <c r="C6" s="12"/>
      <c r="D6" s="12">
        <v>5500000</v>
      </c>
      <c r="E6" s="12">
        <v>5500000</v>
      </c>
      <c r="F6" s="12"/>
      <c r="G6" s="12">
        <v>9000000</v>
      </c>
      <c r="H6" s="12"/>
    </row>
    <row r="8" spans="2:8" ht="15" thickBot="1" x14ac:dyDescent="0.4">
      <c r="B8" s="7"/>
      <c r="H8" s="8"/>
    </row>
    <row r="9" spans="2:8" ht="15" thickBot="1" x14ac:dyDescent="0.4">
      <c r="B9" s="4" t="s">
        <v>6</v>
      </c>
      <c r="C9" s="5">
        <f t="shared" ref="C9:H9" si="0">SUM(C3:C8)</f>
        <v>6000000</v>
      </c>
      <c r="D9" s="5">
        <f t="shared" si="0"/>
        <v>11500000</v>
      </c>
      <c r="E9" s="5">
        <f t="shared" si="0"/>
        <v>18300000</v>
      </c>
      <c r="F9" s="5">
        <f t="shared" si="0"/>
        <v>18400000</v>
      </c>
      <c r="G9" s="5">
        <f t="shared" si="0"/>
        <v>35350000</v>
      </c>
      <c r="H9" s="6">
        <f t="shared" si="0"/>
        <v>33900000</v>
      </c>
    </row>
    <row r="11" spans="2:8" x14ac:dyDescent="0.35">
      <c r="B11" t="s">
        <v>11</v>
      </c>
      <c r="C11" s="12"/>
      <c r="D11" s="12">
        <v>150000</v>
      </c>
      <c r="E11" s="12">
        <v>150000</v>
      </c>
      <c r="F11" s="12">
        <v>150000</v>
      </c>
      <c r="G11" s="12">
        <v>150000</v>
      </c>
      <c r="H11" s="12">
        <v>150000</v>
      </c>
    </row>
    <row r="12" spans="2:8" x14ac:dyDescent="0.35">
      <c r="B12" t="s">
        <v>12</v>
      </c>
      <c r="C12" s="12"/>
      <c r="D12" s="12">
        <v>12000</v>
      </c>
      <c r="E12" s="12">
        <v>12000</v>
      </c>
      <c r="F12" s="12">
        <v>12000</v>
      </c>
      <c r="G12" s="12">
        <v>12000</v>
      </c>
      <c r="H12" s="12">
        <v>12000</v>
      </c>
    </row>
    <row r="13" spans="2:8" x14ac:dyDescent="0.35">
      <c r="B13" t="s">
        <v>18</v>
      </c>
      <c r="C13" s="12"/>
      <c r="D13" s="12">
        <v>22000</v>
      </c>
      <c r="E13" s="12">
        <v>22000</v>
      </c>
      <c r="F13" s="12">
        <v>22000</v>
      </c>
      <c r="G13" s="12">
        <v>22000</v>
      </c>
      <c r="H13" s="12">
        <v>22000</v>
      </c>
    </row>
    <row r="14" spans="2:8" x14ac:dyDescent="0.35">
      <c r="B14" t="s">
        <v>15</v>
      </c>
      <c r="C14" s="12"/>
      <c r="D14" s="12">
        <v>22000</v>
      </c>
      <c r="E14" s="12">
        <v>22000</v>
      </c>
      <c r="F14" s="12">
        <v>22000</v>
      </c>
      <c r="G14" s="12">
        <v>22000</v>
      </c>
      <c r="H14" s="12">
        <v>22000</v>
      </c>
    </row>
    <row r="15" spans="2:8" x14ac:dyDescent="0.35">
      <c r="B15" t="s">
        <v>19</v>
      </c>
      <c r="C15" s="12"/>
      <c r="D15" s="12">
        <v>480000</v>
      </c>
      <c r="E15" s="12">
        <v>480000</v>
      </c>
      <c r="F15" s="12">
        <v>480000</v>
      </c>
      <c r="G15" s="12">
        <v>480000</v>
      </c>
      <c r="H15" s="12">
        <v>480000</v>
      </c>
    </row>
    <row r="16" spans="2:8" ht="15" customHeight="1" x14ac:dyDescent="0.35">
      <c r="B16" t="s">
        <v>14</v>
      </c>
      <c r="C16" s="12"/>
      <c r="D16" s="12">
        <v>1900000</v>
      </c>
      <c r="E16" s="12">
        <v>1900000</v>
      </c>
      <c r="F16" s="12">
        <v>1900000</v>
      </c>
      <c r="G16" s="12">
        <v>1900000</v>
      </c>
      <c r="H16" s="12">
        <v>1900000</v>
      </c>
    </row>
    <row r="17" spans="2:8" ht="15" thickBot="1" x14ac:dyDescent="0.4">
      <c r="B17" s="7"/>
      <c r="C17" s="13"/>
      <c r="D17" s="13"/>
      <c r="E17" s="13"/>
      <c r="F17" s="13"/>
      <c r="G17" s="13"/>
      <c r="H17" s="14"/>
    </row>
    <row r="18" spans="2:8" ht="15" thickBot="1" x14ac:dyDescent="0.4">
      <c r="B18" s="4" t="s">
        <v>7</v>
      </c>
      <c r="C18" s="15">
        <f>C11+C12+C13+C14+C15+C17+C16</f>
        <v>0</v>
      </c>
      <c r="D18" s="15">
        <f>SUM(D11:D17)</f>
        <v>2586000</v>
      </c>
      <c r="E18" s="15">
        <f>E11+E12+E13+E14+E15+E16</f>
        <v>2586000</v>
      </c>
      <c r="F18" s="15">
        <f>F11+F12+F13+F14+F15+F16</f>
        <v>2586000</v>
      </c>
      <c r="G18" s="15">
        <f>G11+G12+G13+G14+G15+G16</f>
        <v>2586000</v>
      </c>
      <c r="H18" s="16">
        <f>H11+H12+H13+H14+H15+H16</f>
        <v>2586000</v>
      </c>
    </row>
    <row r="19" spans="2:8" ht="15" thickBot="1" x14ac:dyDescent="0.4">
      <c r="B19" s="9"/>
      <c r="C19" s="17"/>
      <c r="D19" s="17"/>
      <c r="E19" s="17"/>
      <c r="F19" s="17"/>
      <c r="G19" s="17"/>
      <c r="H19" s="18"/>
    </row>
    <row r="20" spans="2:8" ht="15" thickBot="1" x14ac:dyDescent="0.4">
      <c r="B20" s="4" t="s">
        <v>8</v>
      </c>
      <c r="C20" s="15">
        <f>C9-C18</f>
        <v>6000000</v>
      </c>
      <c r="D20" s="15">
        <f t="shared" ref="D20:G20" si="1">D9-D18</f>
        <v>8914000</v>
      </c>
      <c r="E20" s="15">
        <f t="shared" si="1"/>
        <v>15714000</v>
      </c>
      <c r="F20" s="15">
        <f t="shared" si="1"/>
        <v>15814000</v>
      </c>
      <c r="G20" s="15">
        <f t="shared" si="1"/>
        <v>32764000</v>
      </c>
      <c r="H20" s="16">
        <f>H9-H18</f>
        <v>31314000</v>
      </c>
    </row>
    <row r="24" spans="2:8" x14ac:dyDescent="0.35">
      <c r="B24" s="10"/>
      <c r="C24" s="11"/>
    </row>
    <row r="25" spans="2:8" x14ac:dyDescent="0.35">
      <c r="C25" s="11"/>
    </row>
    <row r="27" spans="2:8" x14ac:dyDescent="0.35">
      <c r="E27" s="19" t="s">
        <v>20</v>
      </c>
      <c r="F27" s="19" t="s">
        <v>21</v>
      </c>
      <c r="G27" s="19" t="s">
        <v>22</v>
      </c>
    </row>
    <row r="28" spans="2:8" x14ac:dyDescent="0.35">
      <c r="E28" s="20" t="s">
        <v>23</v>
      </c>
      <c r="F28" s="21">
        <v>80781320</v>
      </c>
      <c r="G28" s="22" t="s">
        <v>24</v>
      </c>
    </row>
    <row r="29" spans="2:8" ht="29" x14ac:dyDescent="0.35">
      <c r="E29" s="20" t="s">
        <v>25</v>
      </c>
      <c r="F29" s="20" t="s">
        <v>26</v>
      </c>
      <c r="G29" s="22" t="s">
        <v>27</v>
      </c>
    </row>
    <row r="30" spans="2:8" ht="43.5" x14ac:dyDescent="0.35">
      <c r="E30" s="20" t="s">
        <v>28</v>
      </c>
      <c r="F30" s="20">
        <v>14.46</v>
      </c>
      <c r="G30" s="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Barbara!</dc:creator>
  <cp:lastModifiedBy>JUAN JOSUE CASTILLO LOYOLA</cp:lastModifiedBy>
  <dcterms:created xsi:type="dcterms:W3CDTF">2019-12-04T02:06:11Z</dcterms:created>
  <dcterms:modified xsi:type="dcterms:W3CDTF">2025-11-20T20:23:08Z</dcterms:modified>
</cp:coreProperties>
</file>